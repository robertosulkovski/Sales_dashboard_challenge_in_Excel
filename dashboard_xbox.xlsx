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lano_de_Estudos_90_dias\TOTVS - Bootcamp\Dashboard_excel\"/>
    </mc:Choice>
  </mc:AlternateContent>
  <xr:revisionPtr revIDLastSave="0" documentId="13_ncr:1_{CC549674-5A82-4511-8411-BD804DAA8DCF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3" l="1"/>
  <c r="F24" i="3"/>
</calcChain>
</file>

<file path=xl/sharedStrings.xml><?xml version="1.0" encoding="utf-8"?>
<sst xmlns="http://schemas.openxmlformats.org/spreadsheetml/2006/main" count="2020" uniqueCount="323">
  <si>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</si>
  <si>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</si>
  <si>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</si>
  <si>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</si>
  <si>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</si>
  <si>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</si>
  <si>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</si>
  <si>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</si>
  <si>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</si>
  <si>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</si>
  <si>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</si>
  <si>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</si>
  <si>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</si>
  <si>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</si>
  <si>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</si>
  <si>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</si>
  <si>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</si>
  <si>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</si>
  <si>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</si>
  <si>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</si>
  <si>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</si>
  <si>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</si>
  <si>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</si>
  <si>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</si>
  <si>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</si>
  <si>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</si>
  <si>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</si>
  <si>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</si>
  <si>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</si>
  <si>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</si>
  <si>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</si>
  <si>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</si>
  <si>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</si>
  <si>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</si>
  <si>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</si>
  <si>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</si>
  <si>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</si>
  <si>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</si>
  <si>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</si>
  <si>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</si>
  <si>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</si>
  <si>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</si>
  <si>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</si>
  <si>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</si>
  <si>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</si>
  <si>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</si>
  <si>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</si>
  <si>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</si>
  <si>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</si>
  <si>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</si>
  <si>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</si>
  <si>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</si>
  <si>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</si>
  <si>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</si>
  <si>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</si>
  <si>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</si>
  <si>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</si>
  <si>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</si>
  <si>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</si>
  <si>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</si>
  <si>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</si>
  <si>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</si>
  <si>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</si>
  <si>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</si>
  <si>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</si>
  <si>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</si>
  <si>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</si>
  <si>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</si>
  <si>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</si>
  <si>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</si>
  <si>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</si>
  <si>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</si>
  <si>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</si>
  <si>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</si>
  <si>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</si>
  <si>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</si>
  <si>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</si>
  <si>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</si>
  <si>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</si>
  <si>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</si>
  <si>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</si>
  <si>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</si>
  <si>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</si>
  <si>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</si>
  <si>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</si>
  <si>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</si>
  <si>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</si>
  <si>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</si>
  <si>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</si>
  <si>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</si>
  <si>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</si>
  <si>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</si>
  <si>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</si>
  <si>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</si>
  <si>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</si>
  <si>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</si>
  <si>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</si>
  <si>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</si>
  <si>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</si>
  <si>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</si>
  <si>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</si>
  <si>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</si>
  <si>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</si>
  <si>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</si>
  <si>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</si>
  <si>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</si>
  <si>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</si>
  <si>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</si>
  <si>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</si>
  <si>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</si>
  <si>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</si>
  <si>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</si>
  <si>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</si>
  <si>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</si>
  <si>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</si>
  <si>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</si>
  <si>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</si>
  <si>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</si>
  <si>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</si>
  <si>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</si>
  <si>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</si>
  <si>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</si>
  <si>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</si>
  <si>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</si>
  <si>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</si>
  <si>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</si>
  <si>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</si>
  <si>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</si>
  <si>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</si>
  <si>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</si>
  <si>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</si>
  <si>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</si>
  <si>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</si>
  <si>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</si>
  <si>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</si>
  <si>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</si>
  <si>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</si>
  <si>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</si>
  <si>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</si>
  <si>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</si>
  <si>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</si>
  <si>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</si>
  <si>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</si>
  <si>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</si>
  <si>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</si>
  <si>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</si>
  <si>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</si>
  <si>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</si>
  <si>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</si>
  <si>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</si>
  <si>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</si>
  <si>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</si>
  <si>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</si>
  <si>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</si>
  <si>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</si>
  <si>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</si>
  <si>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</si>
  <si>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</si>
  <si>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</si>
  <si>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</si>
  <si>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</si>
  <si>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</si>
  <si>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</si>
  <si>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</si>
  <si>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</si>
  <si>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</si>
  <si>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</si>
  <si>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</si>
  <si>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</si>
  <si>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</si>
  <si>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</si>
  <si>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</si>
  <si>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</si>
  <si>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</si>
  <si>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</si>
  <si>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</si>
  <si>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</si>
  <si>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</si>
  <si>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</si>
  <si>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</si>
  <si>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</si>
  <si>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</si>
  <si>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</si>
  <si>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</si>
  <si>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</si>
  <si>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</si>
  <si>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</si>
  <si>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</si>
  <si>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</si>
  <si>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</si>
  <si>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</si>
  <si>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</si>
  <si>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</si>
  <si>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</si>
  <si>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</si>
  <si>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</si>
  <si>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</si>
  <si>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</si>
  <si>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</si>
  <si>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</si>
  <si>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</si>
  <si>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</si>
  <si>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</si>
  <si>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</si>
  <si>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</si>
  <si>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</si>
  <si>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</si>
  <si>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</si>
  <si>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</si>
  <si>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</si>
  <si>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</si>
  <si>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</si>
  <si>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</si>
  <si>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</si>
  <si>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</si>
  <si>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</si>
  <si>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</si>
  <si>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</si>
  <si>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</si>
  <si>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</si>
  <si>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</si>
  <si>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</si>
  <si>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</si>
  <si>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</si>
  <si>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</si>
  <si>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</si>
  <si>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</si>
  <si>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</si>
  <si>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</si>
  <si>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</si>
  <si>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</si>
  <si>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</si>
  <si>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</si>
  <si>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</si>
  <si>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</si>
  <si>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</si>
  <si>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</si>
  <si>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</si>
  <si>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</si>
  <si>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</si>
  <si>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</si>
  <si>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</si>
  <si>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</si>
  <si>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</si>
  <si>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</si>
  <si>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</si>
  <si>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</si>
  <si>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</si>
  <si>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</si>
  <si>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</si>
  <si>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</si>
  <si>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</si>
  <si>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</si>
  <si>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</si>
  <si>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</si>
  <si>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</si>
  <si>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</si>
  <si>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</si>
  <si>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</si>
  <si>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</si>
  <si>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</si>
  <si>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</si>
  <si>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</si>
  <si>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</si>
  <si>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</si>
  <si>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</si>
  <si>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</si>
  <si>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</si>
  <si>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</si>
  <si>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</si>
  <si>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</si>
  <si>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</si>
  <si>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</si>
  <si>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</si>
  <si>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</si>
  <si>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</si>
  <si>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</si>
  <si>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</si>
  <si>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</si>
  <si>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</si>
  <si>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</si>
  <si>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</si>
  <si>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</si>
  <si>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</si>
  <si>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</si>
  <si>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</si>
  <si>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</si>
  <si>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</si>
  <si>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</si>
  <si>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</si>
  <si>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</si>
  <si>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</si>
  <si>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</si>
  <si>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</si>
  <si>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</si>
  <si>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</si>
  <si>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</si>
  <si>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</si>
  <si>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</si>
  <si>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</si>
  <si>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</si>
  <si>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</si>
  <si>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</si>
  <si>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</si>
  <si>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</si>
  <si>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</si>
  <si>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</si>
  <si>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</si>
  <si>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</si>
  <si>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</si>
  <si>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</si>
  <si>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</si>
  <si>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</si>
  <si>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</si>
  <si>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</si>
  <si>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</si>
  <si>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1 - Qual faturamento Total de vendas de planos anuais (contendo todas as assinaturas agregadas)</t>
  </si>
  <si>
    <t>Pergunta de Negócio 2 - Qual faturamento Total de vendas de planos anuais, separado por auto renovação e por não auto renovação.</t>
  </si>
  <si>
    <t>Pergunta Negócio 3 - Total de Vendas de Assinaturas do EA Play.</t>
  </si>
  <si>
    <t>Soma de EA Play Season Pass</t>
  </si>
  <si>
    <t>Pergunta Negócio 4 - Total de Vendas de Assinaturas do Minecraft Season Pass.</t>
  </si>
  <si>
    <t>Soma de Minecraft Season Pass Price</t>
  </si>
  <si>
    <r>
      <rPr>
        <b/>
        <sz val="15"/>
        <color rgb="FF5BF6A8"/>
        <rFont val="Segoe UI"/>
        <family val="2"/>
      </rPr>
      <t xml:space="preserve">             XBOX GAMES PASS SUBSCRIPTIONS SALES</t>
    </r>
    <r>
      <rPr>
        <b/>
        <sz val="15"/>
        <color rgb="FF5BF6A8"/>
        <rFont val="Segoe Fluent Icons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</si>
</sst>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Fluent Icons"/>
      <family val="1"/>
    </font>
    <font>
      <b/>
      <sz val="15"/>
      <color rgb="FF5BF6A8"/>
      <name val="Segoe UI"/>
      <family val="2"/>
    </font>
    <font>
      <b/>
      <sz val="15"/>
      <color rgb="FF5BF6A8"/>
      <name val="Segoe Fluent Icons"/>
      <family val="1"/>
    </font>
    <font>
      <b/>
      <sz val="15"/>
      <color rgb="FF5BF6A8"/>
      <name val="Segoe Fluent Icons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0" fillId="7" borderId="0" xfId="0" applyFill="1" applyAlignment="1">
      <alignment horizontal="center"/>
    </xf>
    <xf numFmtId="0" fontId="7" fillId="0" borderId="2" xfId="1" applyFont="1" applyBorder="1"/>
    <xf numFmtId="0" fontId="4" fillId="0" borderId="2" xfId="1" applyFont="1" applyBorder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FF7BE2D9-A4F6-4C05-A9FB-129A3CF9C182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786796021285545E-2"/>
          <c:y val="2.0744347570442915E-2"/>
          <c:w val="0.89110393278395494"/>
          <c:h val="0.89243433443273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C̳álculos!$C$11:$C$14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C̳álculos!$D$11:$D$14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0-42E7-9845-F67509153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2417439"/>
        <c:axId val="1702415775"/>
      </c:barChart>
      <c:catAx>
        <c:axId val="170241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2415775"/>
        <c:crosses val="autoZero"/>
        <c:auto val="1"/>
        <c:lblAlgn val="ctr"/>
        <c:lblOffset val="100"/>
        <c:noMultiLvlLbl val="0"/>
      </c:catAx>
      <c:valAx>
        <c:axId val="17024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24174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01395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147962</xdr:colOff>
      <xdr:row>1</xdr:row>
      <xdr:rowOff>46470</xdr:rowOff>
    </xdr:from>
    <xdr:to>
      <xdr:col>3</xdr:col>
      <xdr:colOff>0</xdr:colOff>
      <xdr:row>2</xdr:row>
      <xdr:rowOff>332194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CF5C64-F77D-4DBE-9819-71BBBA7722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60" t="12113" r="72239" b="12412"/>
        <a:stretch/>
      </xdr:blipFill>
      <xdr:spPr>
        <a:xfrm>
          <a:off x="2348344" y="217706"/>
          <a:ext cx="793836" cy="979230"/>
        </a:xfrm>
        <a:prstGeom prst="rect">
          <a:avLst/>
        </a:prstGeom>
      </xdr:spPr>
    </xdr:pic>
    <xdr:clientData/>
  </xdr:twoCellAnchor>
  <xdr:twoCellAnchor editAs="oneCell">
    <xdr:from>
      <xdr:col>0</xdr:col>
      <xdr:colOff>8562</xdr:colOff>
      <xdr:row>4</xdr:row>
      <xdr:rowOff>30643</xdr:rowOff>
    </xdr:from>
    <xdr:to>
      <xdr:col>0</xdr:col>
      <xdr:colOff>2170515</xdr:colOff>
      <xdr:row>18</xdr:row>
      <xdr:rowOff>140879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545460B-E195-4161-A1E7-D1A839EAA3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2" y="1400531"/>
              <a:ext cx="2161953" cy="26616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124046</xdr:colOff>
      <xdr:row>6</xdr:row>
      <xdr:rowOff>35736</xdr:rowOff>
    </xdr:from>
    <xdr:to>
      <xdr:col>9</xdr:col>
      <xdr:colOff>168350</xdr:colOff>
      <xdr:row>15</xdr:row>
      <xdr:rowOff>61224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A7361EE6-381E-4074-82DE-A30F9CD425FE}"/>
            </a:ext>
          </a:extLst>
        </xdr:cNvPr>
        <xdr:cNvGrpSpPr/>
      </xdr:nvGrpSpPr>
      <xdr:grpSpPr>
        <a:xfrm>
          <a:off x="2324014" y="1645768"/>
          <a:ext cx="5046465" cy="1819875"/>
          <a:chOff x="2330302" y="1417674"/>
          <a:chExt cx="5032746" cy="185631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DF50D11-8310-4C50-87D6-372AAD9E1814}"/>
              </a:ext>
            </a:extLst>
          </xdr:cNvPr>
          <xdr:cNvSpPr/>
        </xdr:nvSpPr>
        <xdr:spPr>
          <a:xfrm>
            <a:off x="2339163" y="1541720"/>
            <a:ext cx="5015023" cy="1710071"/>
          </a:xfrm>
          <a:prstGeom prst="roundRect">
            <a:avLst>
              <a:gd name="adj" fmla="val 628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CD642234-00EB-4539-AEEB-F388BB34FFE3}"/>
              </a:ext>
            </a:extLst>
          </xdr:cNvPr>
          <xdr:cNvSpPr/>
        </xdr:nvSpPr>
        <xdr:spPr>
          <a:xfrm>
            <a:off x="4022652" y="2210736"/>
            <a:ext cx="3101162" cy="970172"/>
          </a:xfrm>
          <a:prstGeom prst="roundRect">
            <a:avLst>
              <a:gd name="adj" fmla="val 6282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DBBF63C-2BDA-46DD-8F6D-A141A56237A3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CE3ED20-1150-48D3-8786-6ABD675E9F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96116" y="1830893"/>
            <a:ext cx="1727792" cy="14431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59AE2F51-88D8-4EFB-899B-353B3FCB5AFC}"/>
              </a:ext>
            </a:extLst>
          </xdr:cNvPr>
          <xdr:cNvSpPr/>
        </xdr:nvSpPr>
        <xdr:spPr>
          <a:xfrm>
            <a:off x="2330302" y="1417674"/>
            <a:ext cx="5032746" cy="55821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TOTAL SUBSCRIPTIONS</a:t>
            </a:r>
            <a:r>
              <a:rPr lang="pt-BR" sz="1400" baseline="0"/>
              <a:t>  EA PLAY SEASON PASS</a:t>
            </a:r>
            <a:endParaRPr lang="pt-BR" sz="1400"/>
          </a:p>
        </xdr:txBody>
      </xdr:sp>
    </xdr:grpSp>
    <xdr:clientData/>
  </xdr:twoCellAnchor>
  <xdr:twoCellAnchor>
    <xdr:from>
      <xdr:col>9</xdr:col>
      <xdr:colOff>453655</xdr:colOff>
      <xdr:row>6</xdr:row>
      <xdr:rowOff>46837</xdr:rowOff>
    </xdr:from>
    <xdr:to>
      <xdr:col>17</xdr:col>
      <xdr:colOff>267587</xdr:colOff>
      <xdr:row>15</xdr:row>
      <xdr:rowOff>50123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5C3BC65D-3A4F-44E9-87B0-2033F7C37606}"/>
            </a:ext>
          </a:extLst>
        </xdr:cNvPr>
        <xdr:cNvGrpSpPr/>
      </xdr:nvGrpSpPr>
      <xdr:grpSpPr>
        <a:xfrm>
          <a:off x="7655784" y="1656869"/>
          <a:ext cx="5049609" cy="1797673"/>
          <a:chOff x="7648353" y="1348562"/>
          <a:chExt cx="5032746" cy="1834117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2CEF819-DEA4-4A65-8546-16A75452BFB0}"/>
              </a:ext>
            </a:extLst>
          </xdr:cNvPr>
          <xdr:cNvGrpSpPr/>
        </xdr:nvGrpSpPr>
        <xdr:grpSpPr>
          <a:xfrm>
            <a:off x="7648353" y="1348562"/>
            <a:ext cx="5032746" cy="1834117"/>
            <a:chOff x="2330302" y="1417674"/>
            <a:chExt cx="5032746" cy="1834117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C9D93796-1979-4A8F-B4DF-8B794A4D557B}"/>
                </a:ext>
              </a:extLst>
            </xdr:cNvPr>
            <xdr:cNvSpPr/>
          </xdr:nvSpPr>
          <xdr:spPr>
            <a:xfrm>
              <a:off x="2339163" y="1541720"/>
              <a:ext cx="5015023" cy="1710071"/>
            </a:xfrm>
            <a:prstGeom prst="roundRect">
              <a:avLst>
                <a:gd name="adj" fmla="val 628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/>
            </a:p>
          </xdr:txBody>
        </xdr:sp>
        <xdr:sp macro="" textlink="C̳álculos!F36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4E56C0C3-C9B6-42C2-A8D9-DD1F3F88F305}"/>
                </a:ext>
              </a:extLst>
            </xdr:cNvPr>
            <xdr:cNvSpPr/>
          </xdr:nvSpPr>
          <xdr:spPr>
            <a:xfrm>
              <a:off x="4022652" y="2210736"/>
              <a:ext cx="3101162" cy="970172"/>
            </a:xfrm>
            <a:prstGeom prst="roundRect">
              <a:avLst>
                <a:gd name="adj" fmla="val 6282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9E2219B3-94E9-4C99-B4B5-2DA7A03540F8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R$ 940,00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440F1A70-E738-45AE-B02F-CD2ACFEC96F5}"/>
                </a:ext>
              </a:extLst>
            </xdr:cNvPr>
            <xdr:cNvSpPr/>
          </xdr:nvSpPr>
          <xdr:spPr>
            <a:xfrm>
              <a:off x="2330302" y="1417674"/>
              <a:ext cx="5032746" cy="55821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/>
                <a:t>TOTAL SUBSCRIPTIONS</a:t>
              </a:r>
              <a:r>
                <a:rPr lang="pt-BR" sz="1400" baseline="0"/>
                <a:t>  EA PLAY SEASON PASS</a:t>
              </a:r>
              <a:endParaRPr lang="pt-BR" sz="1400"/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7256D6C3-3DD4-401B-A982-82E09B3F521C}"/>
              </a:ext>
            </a:extLst>
          </xdr:cNvPr>
          <xdr:cNvGrpSpPr/>
        </xdr:nvGrpSpPr>
        <xdr:grpSpPr>
          <a:xfrm>
            <a:off x="8073656" y="2154865"/>
            <a:ext cx="1229833" cy="583019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6F6D0470-21F7-4357-B91E-7E260CC792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5725CEA3-E52B-4D04-A252-7E5033437A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132405</xdr:colOff>
      <xdr:row>15</xdr:row>
      <xdr:rowOff>114588</xdr:rowOff>
    </xdr:from>
    <xdr:to>
      <xdr:col>17</xdr:col>
      <xdr:colOff>219923</xdr:colOff>
      <xdr:row>36</xdr:row>
      <xdr:rowOff>149434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3E20BBA0-3840-421B-9EA7-1594F5282FC1}"/>
            </a:ext>
          </a:extLst>
        </xdr:cNvPr>
        <xdr:cNvGrpSpPr/>
      </xdr:nvGrpSpPr>
      <xdr:grpSpPr>
        <a:xfrm>
          <a:off x="2332373" y="3519007"/>
          <a:ext cx="10325356" cy="3648201"/>
          <a:chOff x="2307102" y="3308139"/>
          <a:chExt cx="10216125" cy="3630801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84A358DB-5C93-4223-AE12-8C8962A05971}"/>
              </a:ext>
            </a:extLst>
          </xdr:cNvPr>
          <xdr:cNvGrpSpPr/>
        </xdr:nvGrpSpPr>
        <xdr:grpSpPr>
          <a:xfrm>
            <a:off x="2323534" y="3890436"/>
            <a:ext cx="10199693" cy="3048504"/>
            <a:chOff x="2323534" y="3890436"/>
            <a:chExt cx="10199693" cy="304850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437E2D60-64A8-4843-B385-6D9C07E2A6BA}"/>
                </a:ext>
              </a:extLst>
            </xdr:cNvPr>
            <xdr:cNvSpPr/>
          </xdr:nvSpPr>
          <xdr:spPr>
            <a:xfrm>
              <a:off x="2323534" y="3890436"/>
              <a:ext cx="10199693" cy="3048504"/>
            </a:xfrm>
            <a:prstGeom prst="roundRect">
              <a:avLst>
                <a:gd name="adj" fmla="val 5993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00F7ED5-A5F4-45CF-91E5-138DBD9C4B49}"/>
                </a:ext>
              </a:extLst>
            </xdr:cNvPr>
            <xdr:cNvGraphicFramePr>
              <a:graphicFrameLocks/>
            </xdr:cNvGraphicFramePr>
          </xdr:nvGraphicFramePr>
          <xdr:xfrm>
            <a:off x="2416206" y="4008265"/>
            <a:ext cx="9396804" cy="27211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20AD3969-F7B6-43AD-9B79-6965AB5700A7}"/>
              </a:ext>
            </a:extLst>
          </xdr:cNvPr>
          <xdr:cNvSpPr/>
        </xdr:nvSpPr>
        <xdr:spPr>
          <a:xfrm>
            <a:off x="2307102" y="3308139"/>
            <a:ext cx="10199694" cy="68505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TOTAL</a:t>
            </a:r>
            <a:r>
              <a:rPr lang="pt-BR" sz="1400" baseline="0"/>
              <a:t> SUBSCRIPTIONS XBOX GAME PASS</a:t>
            </a:r>
            <a:endParaRPr lang="pt-BR" sz="1400"/>
          </a:p>
        </xdr:txBody>
      </xdr:sp>
    </xdr:grpSp>
    <xdr:clientData/>
  </xdr:twoCellAnchor>
  <xdr:twoCellAnchor>
    <xdr:from>
      <xdr:col>0</xdr:col>
      <xdr:colOff>650347</xdr:colOff>
      <xdr:row>1</xdr:row>
      <xdr:rowOff>9599</xdr:rowOff>
    </xdr:from>
    <xdr:to>
      <xdr:col>0</xdr:col>
      <xdr:colOff>1406632</xdr:colOff>
      <xdr:row>2</xdr:row>
      <xdr:rowOff>9513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8C1E2AE9-0673-4D01-89C9-BD2C42B44874}"/>
            </a:ext>
          </a:extLst>
        </xdr:cNvPr>
        <xdr:cNvSpPr/>
      </xdr:nvSpPr>
      <xdr:spPr>
        <a:xfrm>
          <a:off x="650347" y="181664"/>
          <a:ext cx="756285" cy="68817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102742</xdr:colOff>
      <xdr:row>2</xdr:row>
      <xdr:rowOff>179797</xdr:rowOff>
    </xdr:from>
    <xdr:to>
      <xdr:col>0</xdr:col>
      <xdr:colOff>2097640</xdr:colOff>
      <xdr:row>3</xdr:row>
      <xdr:rowOff>59932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E0093B5-1428-4390-92A1-64BC3E8A51B8}"/>
            </a:ext>
          </a:extLst>
        </xdr:cNvPr>
        <xdr:cNvSpPr/>
      </xdr:nvSpPr>
      <xdr:spPr>
        <a:xfrm>
          <a:off x="102742" y="1044539"/>
          <a:ext cx="1994898" cy="2911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Seja</a:t>
          </a:r>
          <a:r>
            <a:rPr lang="pt-BR" sz="1100" baseline="0">
              <a:solidFill>
                <a:schemeClr val="bg1"/>
              </a:solidFill>
            </a:rPr>
            <a:t> bem-vindo(a)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162674</xdr:colOff>
      <xdr:row>3</xdr:row>
      <xdr:rowOff>51370</xdr:rowOff>
    </xdr:from>
    <xdr:to>
      <xdr:col>8</xdr:col>
      <xdr:colOff>582202</xdr:colOff>
      <xdr:row>5</xdr:row>
      <xdr:rowOff>94178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54E23713-D2A5-4AD9-9CDB-2561C290403A}"/>
            </a:ext>
          </a:extLst>
        </xdr:cNvPr>
        <xdr:cNvSpPr/>
      </xdr:nvSpPr>
      <xdr:spPr>
        <a:xfrm>
          <a:off x="2363056" y="1327078"/>
          <a:ext cx="4700427" cy="2654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Calculation Period: 01/01/2024 - 31/12/2024 | Update date 06/06/2026 16:10</a:t>
          </a:r>
          <a:endParaRPr lang="pt-BR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9.573733101854" createdVersion="7" refreshedVersion="7" minRefreshableVersion="3" recordCount="295" xr:uid="{0DA91C6A-FC6C-44A9-B78D-B02EBC8335B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90119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04B6E-A468-454C-98AF-268ACBB349D7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C10:D14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2009D-2CFE-435F-9189-91BC049A433C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C32:D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C2009-F693-4ABE-8812-4696D38DBEBB}" name="tbl_ea_season_pass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C20:D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5ADBF38-E486-4B27-827A-F3734E3880ED}" sourceName="Subscription Type">
  <pivotTables>
    <pivotTable tabId="3" name="tbl_annual_total"/>
    <pivotTable tabId="3" name="tbl_ea_season_pass"/>
    <pivotTable tabId="3" name="Tabela dinâmica5"/>
  </pivotTables>
  <data>
    <tabular pivotCacheId="14901195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77FB558-8CFF-425D-B643-370B8C841E11}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K5" sqref="K5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F37"/>
  <sheetViews>
    <sheetView showGridLines="0" topLeftCell="A13" workbookViewId="0">
      <selection activeCell="F36" sqref="F36"/>
    </sheetView>
  </sheetViews>
  <sheetFormatPr defaultRowHeight="13.8"/>
  <cols>
    <col min="3" max="3" width="17.69921875" bestFit="1" customWidth="1"/>
    <col min="4" max="4" width="34.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4" spans="3:4">
      <c r="C4" t="s">
        <v>316</v>
      </c>
    </row>
    <row r="6" spans="3:4">
      <c r="C6" t="s">
        <v>317</v>
      </c>
    </row>
    <row r="10" spans="3:4">
      <c r="C10" s="12" t="s">
        <v>313</v>
      </c>
      <c r="D10" t="s">
        <v>315</v>
      </c>
    </row>
    <row r="11" spans="3:4">
      <c r="C11" s="13" t="s">
        <v>24</v>
      </c>
      <c r="D11" s="14">
        <v>1754</v>
      </c>
    </row>
    <row r="12" spans="3:4">
      <c r="C12" s="15" t="s">
        <v>23</v>
      </c>
      <c r="D12" s="14">
        <v>217</v>
      </c>
    </row>
    <row r="13" spans="3:4">
      <c r="C13" s="15" t="s">
        <v>19</v>
      </c>
      <c r="D13" s="14">
        <v>1537</v>
      </c>
    </row>
    <row r="14" spans="3:4">
      <c r="C14" s="13" t="s">
        <v>314</v>
      </c>
      <c r="D14" s="14">
        <v>1754</v>
      </c>
    </row>
    <row r="15" spans="3:4">
      <c r="C15" s="13"/>
      <c r="D15" s="14"/>
    </row>
    <row r="16" spans="3:4">
      <c r="C16" t="s">
        <v>318</v>
      </c>
    </row>
    <row r="18" spans="3:6">
      <c r="C18" s="12" t="s">
        <v>16</v>
      </c>
      <c r="D18" t="s">
        <v>24</v>
      </c>
    </row>
    <row r="20" spans="3:6">
      <c r="C20" s="12" t="s">
        <v>313</v>
      </c>
      <c r="D20" t="s">
        <v>319</v>
      </c>
    </row>
    <row r="21" spans="3:6">
      <c r="C21" s="13" t="s">
        <v>22</v>
      </c>
      <c r="D21" s="14">
        <v>0</v>
      </c>
    </row>
    <row r="22" spans="3:6">
      <c r="C22" s="13" t="s">
        <v>26</v>
      </c>
      <c r="D22" s="14">
        <v>0</v>
      </c>
    </row>
    <row r="23" spans="3:6">
      <c r="C23" s="13" t="s">
        <v>18</v>
      </c>
      <c r="D23" s="14">
        <v>600</v>
      </c>
    </row>
    <row r="24" spans="3:6">
      <c r="C24" s="13" t="s">
        <v>314</v>
      </c>
      <c r="D24" s="14">
        <v>600</v>
      </c>
      <c r="F24" s="16">
        <f>GETPIVOTDATA("EA Play Season Pass
Price",$C$20)</f>
        <v>600</v>
      </c>
    </row>
    <row r="27" spans="3:6">
      <c r="C27" t="s">
        <v>320</v>
      </c>
    </row>
    <row r="30" spans="3:6">
      <c r="C30" s="12" t="s">
        <v>16</v>
      </c>
      <c r="D30" t="s">
        <v>24</v>
      </c>
    </row>
    <row r="32" spans="3:6">
      <c r="C32" s="12" t="s">
        <v>313</v>
      </c>
      <c r="D32" t="s">
        <v>321</v>
      </c>
    </row>
    <row r="33" spans="3:6">
      <c r="C33" s="13" t="s">
        <v>22</v>
      </c>
      <c r="D33" s="14">
        <v>0</v>
      </c>
    </row>
    <row r="34" spans="3:6">
      <c r="C34" s="13" t="s">
        <v>26</v>
      </c>
      <c r="D34" s="14">
        <v>540</v>
      </c>
    </row>
    <row r="35" spans="3:6">
      <c r="C35" s="13" t="s">
        <v>18</v>
      </c>
      <c r="D35" s="14">
        <v>400</v>
      </c>
    </row>
    <row r="36" spans="3:6">
      <c r="C36" s="13" t="s">
        <v>314</v>
      </c>
      <c r="D36" s="14">
        <v>940</v>
      </c>
      <c r="F36" s="16">
        <f>GETPIVOTDATA("Minecraft Season Pass Price",$C$32)</f>
        <v>940</v>
      </c>
    </row>
    <row r="37" spans="3:6">
      <c r="F37" s="16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9"/>
  <sheetViews>
    <sheetView showGridLines="0" tabSelected="1" zoomScale="62" zoomScaleNormal="62" workbookViewId="0">
      <selection activeCell="D42" sqref="D42"/>
    </sheetView>
  </sheetViews>
  <sheetFormatPr defaultRowHeight="13.8"/>
  <cols>
    <col min="1" max="1" width="28.8984375" style="4" customWidth="1"/>
    <col min="2" max="2" width="3.59765625" style="7" customWidth="1"/>
    <col min="3" max="11" width="8.796875" style="7"/>
    <col min="12" max="12" width="6.59765625" style="7" customWidth="1"/>
    <col min="13" max="16384" width="8.796875" style="7"/>
  </cols>
  <sheetData>
    <row r="1" spans="1:18" customFormat="1">
      <c r="A1" s="4"/>
    </row>
    <row r="2" spans="1:18" customFormat="1" ht="54.6" customHeight="1" thickBot="1">
      <c r="A2" s="4"/>
      <c r="C2" s="18" t="s">
        <v>322</v>
      </c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20"/>
      <c r="R2" s="20"/>
    </row>
    <row r="3" spans="1:18" customFormat="1" ht="32.4" customHeight="1">
      <c r="A3" s="4"/>
    </row>
    <row r="4" spans="1:18" ht="7.5" customHeight="1"/>
    <row r="5" spans="1:18" ht="10.5" customHeight="1"/>
    <row r="6" spans="1:18" ht="9.75" customHeight="1"/>
    <row r="7" spans="1:18" ht="33" customHeight="1"/>
    <row r="9" spans="1:18">
      <c r="L9" s="1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2024-12-19T13:13:10Z</dcterms:created>
  <dcterms:modified xsi:type="dcterms:W3CDTF">2026-06-06T19:17:51Z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